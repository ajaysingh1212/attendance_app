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2" sheetId="2" r:id="rId1"/>
    <sheet name="Sheet3" sheetId="3" r:id="rId2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2"/>
  <c r="C5"/>
  <c r="C15" l="1"/>
  <c r="C23" s="1"/>
  <c r="C19"/>
  <c r="C20" l="1"/>
  <c r="C24" s="1"/>
</calcChain>
</file>

<file path=xl/sharedStrings.xml><?xml version="1.0" encoding="utf-8"?>
<sst xmlns="http://schemas.openxmlformats.org/spreadsheetml/2006/main" count="25" uniqueCount="23">
  <si>
    <t>SALES</t>
  </si>
  <si>
    <t xml:space="preserve">COST OF SALES </t>
  </si>
  <si>
    <t xml:space="preserve">OTHER COST </t>
  </si>
  <si>
    <t>NET PROFIT</t>
  </si>
  <si>
    <t>PERFORMANCE METER</t>
  </si>
  <si>
    <t>UN PAID / CREDIT</t>
  </si>
  <si>
    <t>FAIL</t>
  </si>
  <si>
    <t xml:space="preserve">AVARAGE </t>
  </si>
  <si>
    <t>GOOD</t>
  </si>
  <si>
    <t>EXELLENT</t>
  </si>
  <si>
    <t xml:space="preserve">TOP CLASS </t>
  </si>
  <si>
    <t>NEGATIVE VERY POOR</t>
  </si>
  <si>
    <t>minus point</t>
  </si>
  <si>
    <t>LESS HEN 100</t>
  </si>
  <si>
    <t>p/point</t>
  </si>
  <si>
    <t xml:space="preserve">1501 above </t>
  </si>
  <si>
    <t>101-500.</t>
  </si>
  <si>
    <t>501-800.</t>
  </si>
  <si>
    <t>801-1200.</t>
  </si>
  <si>
    <t>1201-1500.</t>
  </si>
  <si>
    <t>MATERILS COST</t>
  </si>
  <si>
    <t>SALARIES</t>
  </si>
  <si>
    <t>TOUR &amp; TRAVEL</t>
  </si>
</sst>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* #,##0_ ;_ * \-#,##0_ ;_ * &quot;-&quot;??_ ;_ @_ "/>
    <numFmt numFmtId="166" formatCode="0.0"/>
    <numFmt numFmtId="167" formatCode="_(* #,##0.0_);_(* \(#,##0.0\);_(* &quot;-&quot;?_);_(@_)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4" xfId="0" applyFont="1" applyBorder="1" applyAlignment="1"/>
    <xf numFmtId="165" fontId="2" fillId="0" borderId="5" xfId="1" applyNumberFormat="1" applyFont="1" applyBorder="1" applyAlignment="1"/>
    <xf numFmtId="0" fontId="2" fillId="0" borderId="0" xfId="0" applyFont="1" applyFill="1" applyBorder="1" applyAlignment="1"/>
    <xf numFmtId="166" fontId="2" fillId="0" borderId="0" xfId="0" applyNumberFormat="1" applyFont="1"/>
    <xf numFmtId="2" fontId="0" fillId="0" borderId="0" xfId="0" applyNumberFormat="1"/>
    <xf numFmtId="0" fontId="2" fillId="2" borderId="2" xfId="0" applyFont="1" applyFill="1" applyBorder="1" applyAlignment="1"/>
    <xf numFmtId="165" fontId="2" fillId="2" borderId="3" xfId="1" applyNumberFormat="1" applyFont="1" applyFill="1" applyBorder="1" applyAlignment="1"/>
    <xf numFmtId="0" fontId="2" fillId="2" borderId="4" xfId="0" applyFont="1" applyFill="1" applyBorder="1" applyAlignment="1"/>
    <xf numFmtId="165" fontId="2" fillId="2" borderId="5" xfId="1" applyNumberFormat="1" applyFont="1" applyFill="1" applyBorder="1" applyAlignment="1"/>
    <xf numFmtId="0" fontId="2" fillId="2" borderId="6" xfId="0" applyFont="1" applyFill="1" applyBorder="1" applyAlignment="1"/>
    <xf numFmtId="165" fontId="2" fillId="2" borderId="7" xfId="1" applyNumberFormat="1" applyFont="1" applyFill="1" applyBorder="1" applyAlignment="1"/>
    <xf numFmtId="0" fontId="2" fillId="4" borderId="4" xfId="0" applyFont="1" applyFill="1" applyBorder="1" applyAlignment="1"/>
    <xf numFmtId="165" fontId="2" fillId="4" borderId="5" xfId="1" applyNumberFormat="1" applyFont="1" applyFill="1" applyBorder="1" applyAlignment="1"/>
    <xf numFmtId="0" fontId="2" fillId="0" borderId="8" xfId="0" applyFont="1" applyBorder="1" applyAlignment="1"/>
    <xf numFmtId="165" fontId="2" fillId="0" borderId="9" xfId="1" applyNumberFormat="1" applyFont="1" applyBorder="1" applyAlignment="1"/>
    <xf numFmtId="0" fontId="2" fillId="3" borderId="1" xfId="0" applyFont="1" applyFill="1" applyBorder="1" applyAlignment="1"/>
    <xf numFmtId="166" fontId="2" fillId="3" borderId="1" xfId="0" applyNumberFormat="1" applyFont="1" applyFill="1" applyBorder="1"/>
    <xf numFmtId="0" fontId="2" fillId="3" borderId="1" xfId="0" applyFont="1" applyFill="1" applyBorder="1"/>
    <xf numFmtId="167" fontId="2" fillId="3" borderId="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C31"/>
  <sheetViews>
    <sheetView tabSelected="1" workbookViewId="0">
      <selection activeCell="F25" sqref="F25"/>
    </sheetView>
  </sheetViews>
  <sheetFormatPr defaultRowHeight="14.4" outlineLevelRow="1"/>
  <cols>
    <col min="2" max="2" width="25.5546875" customWidth="1"/>
    <col min="3" max="3" width="11" bestFit="1" customWidth="1"/>
  </cols>
  <sheetData>
    <row r="2" spans="2:3" ht="15" thickBot="1"/>
    <row r="3" spans="2:3">
      <c r="B3" s="6" t="s">
        <v>0</v>
      </c>
      <c r="C3" s="7">
        <v>200000</v>
      </c>
    </row>
    <row r="4" spans="2:3">
      <c r="B4" s="1"/>
      <c r="C4" s="2"/>
    </row>
    <row r="5" spans="2:3">
      <c r="B5" s="8" t="s">
        <v>1</v>
      </c>
      <c r="C5" s="9">
        <f>SUM(C6:C13)</f>
        <v>165000</v>
      </c>
    </row>
    <row r="6" spans="2:3" outlineLevel="1">
      <c r="B6" s="12" t="s">
        <v>20</v>
      </c>
      <c r="C6" s="13">
        <v>100000</v>
      </c>
    </row>
    <row r="7" spans="2:3" outlineLevel="1">
      <c r="B7" s="12" t="s">
        <v>21</v>
      </c>
      <c r="C7" s="13">
        <v>40000</v>
      </c>
    </row>
    <row r="8" spans="2:3" outlineLevel="1">
      <c r="B8" s="12" t="s">
        <v>22</v>
      </c>
      <c r="C8" s="13">
        <v>25000</v>
      </c>
    </row>
    <row r="9" spans="2:3" outlineLevel="1">
      <c r="B9" s="12" t="s">
        <v>2</v>
      </c>
      <c r="C9" s="13"/>
    </row>
    <row r="10" spans="2:3" outlineLevel="1">
      <c r="B10" s="12"/>
      <c r="C10" s="13"/>
    </row>
    <row r="11" spans="2:3" outlineLevel="1">
      <c r="B11" s="12"/>
      <c r="C11" s="13"/>
    </row>
    <row r="12" spans="2:3" outlineLevel="1">
      <c r="B12" s="12"/>
      <c r="C12" s="13"/>
    </row>
    <row r="13" spans="2:3" outlineLevel="1">
      <c r="B13" s="1"/>
      <c r="C13" s="2"/>
    </row>
    <row r="14" spans="2:3">
      <c r="B14" s="14"/>
      <c r="C14" s="15"/>
    </row>
    <row r="15" spans="2:3" ht="15" thickBot="1">
      <c r="B15" s="10" t="s">
        <v>3</v>
      </c>
      <c r="C15" s="11">
        <f>C3-C5</f>
        <v>35000</v>
      </c>
    </row>
    <row r="17" spans="2:3">
      <c r="B17" s="18" t="s">
        <v>5</v>
      </c>
      <c r="C17" s="18">
        <v>30000</v>
      </c>
    </row>
    <row r="18" spans="2:3">
      <c r="B18" s="16" t="s">
        <v>12</v>
      </c>
      <c r="C18" s="17">
        <f>C17/2</f>
        <v>15000</v>
      </c>
    </row>
    <row r="19" spans="2:3">
      <c r="B19" s="16" t="s">
        <v>12</v>
      </c>
      <c r="C19" s="19">
        <f>C18*100/C3</f>
        <v>7.5</v>
      </c>
    </row>
    <row r="20" spans="2:3">
      <c r="B20" s="16" t="s">
        <v>14</v>
      </c>
      <c r="C20" s="17">
        <f>(C19*100)</f>
        <v>750</v>
      </c>
    </row>
    <row r="23" spans="2:3">
      <c r="B23" t="s">
        <v>4</v>
      </c>
      <c r="C23" s="5">
        <f>(C15)*100/C3</f>
        <v>17.5</v>
      </c>
    </row>
    <row r="24" spans="2:3">
      <c r="B24" s="3" t="s">
        <v>14</v>
      </c>
      <c r="C24" s="4">
        <f>(C23*100)-C20</f>
        <v>1000</v>
      </c>
    </row>
    <row r="26" spans="2:3">
      <c r="B26" t="s">
        <v>13</v>
      </c>
      <c r="C26" t="s">
        <v>11</v>
      </c>
    </row>
    <row r="27" spans="2:3">
      <c r="B27" t="s">
        <v>16</v>
      </c>
      <c r="C27" t="s">
        <v>6</v>
      </c>
    </row>
    <row r="28" spans="2:3">
      <c r="B28" t="s">
        <v>17</v>
      </c>
      <c r="C28" t="s">
        <v>7</v>
      </c>
    </row>
    <row r="29" spans="2:3">
      <c r="B29" t="s">
        <v>18</v>
      </c>
      <c r="C29" t="s">
        <v>8</v>
      </c>
    </row>
    <row r="30" spans="2:3">
      <c r="B30" t="s">
        <v>19</v>
      </c>
      <c r="C30" t="s">
        <v>9</v>
      </c>
    </row>
    <row r="31" spans="2:3">
      <c r="B31" t="s">
        <v>15</v>
      </c>
      <c r="C31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2025-09-10T06:26:14Z</dcterms:modified>
  <cp:category/>
  <cp:contentStatus/>
</cp:coreProperties>
</file>